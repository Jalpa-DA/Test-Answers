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6\Desktop\"/>
    </mc:Choice>
  </mc:AlternateContent>
  <xr:revisionPtr revIDLastSave="0" documentId="8_{3A3F1C79-38F9-4AA9-8906-5EC9F355D5D4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7" i="7" l="1"/>
  <c r="D66" i="7"/>
  <c r="D65" i="7"/>
  <c r="D64" i="7"/>
  <c r="H62" i="7"/>
  <c r="H61" i="7"/>
  <c r="H60" i="7"/>
  <c r="H59" i="7"/>
  <c r="H58" i="7"/>
  <c r="H57" i="7"/>
  <c r="E52" i="7"/>
  <c r="H50" i="7"/>
  <c r="H49" i="7"/>
  <c r="H48" i="7"/>
  <c r="H47" i="7"/>
  <c r="H46" i="7"/>
  <c r="H45" i="7"/>
  <c r="E8" i="2"/>
  <c r="K40" i="7"/>
  <c r="K39" i="7"/>
  <c r="I39" i="7"/>
  <c r="H39" i="7"/>
  <c r="K38" i="7"/>
  <c r="I38" i="7"/>
  <c r="H38" i="7"/>
  <c r="I37" i="7"/>
  <c r="H37" i="7"/>
  <c r="K37" i="7" s="1"/>
  <c r="K36" i="7"/>
  <c r="I36" i="7"/>
  <c r="H36" i="7"/>
  <c r="K35" i="7"/>
  <c r="I35" i="7"/>
  <c r="H35" i="7"/>
  <c r="I34" i="7"/>
  <c r="H34" i="7"/>
  <c r="K34" i="7" s="1"/>
  <c r="K25" i="7"/>
  <c r="K26" i="7"/>
  <c r="K27" i="7"/>
  <c r="K28" i="7"/>
  <c r="K29" i="7"/>
  <c r="K24" i="7"/>
  <c r="K15" i="7"/>
  <c r="K16" i="7"/>
  <c r="K17" i="7"/>
  <c r="K18" i="7"/>
  <c r="K19" i="7"/>
  <c r="K14" i="7"/>
  <c r="J14" i="7"/>
  <c r="J15" i="7"/>
  <c r="J16" i="7"/>
  <c r="J17" i="7"/>
  <c r="J18" i="7"/>
  <c r="J19" i="7"/>
  <c r="I29" i="7"/>
  <c r="H29" i="7"/>
  <c r="I28" i="7"/>
  <c r="H28" i="7"/>
  <c r="I27" i="7"/>
  <c r="H27" i="7"/>
  <c r="I26" i="7"/>
  <c r="H26" i="7"/>
  <c r="I25" i="7"/>
  <c r="H25" i="7"/>
  <c r="I24" i="7"/>
  <c r="H24" i="7"/>
  <c r="I19" i="7"/>
  <c r="H19" i="7"/>
  <c r="I18" i="7"/>
  <c r="H18" i="7"/>
  <c r="I17" i="7"/>
  <c r="H17" i="7"/>
  <c r="I16" i="7"/>
  <c r="H16" i="7"/>
  <c r="I15" i="7"/>
  <c r="H15" i="7"/>
  <c r="I14" i="7"/>
  <c r="H14" i="7"/>
  <c r="J8" i="2"/>
  <c r="J3" i="2"/>
  <c r="J4" i="2"/>
  <c r="J5" i="2"/>
  <c r="J6" i="2"/>
  <c r="J7" i="2"/>
  <c r="J2" i="2"/>
  <c r="I3" i="2"/>
  <c r="I4" i="2"/>
  <c r="I5" i="2"/>
  <c r="I6" i="2"/>
  <c r="I7" i="2"/>
  <c r="I2" i="2"/>
  <c r="H3" i="2"/>
  <c r="H4" i="2"/>
  <c r="H5" i="2"/>
  <c r="H6" i="2"/>
  <c r="H7" i="2"/>
  <c r="H2" i="2"/>
  <c r="H5" i="7"/>
  <c r="H6" i="7"/>
  <c r="H7" i="7"/>
  <c r="H8" i="7"/>
  <c r="H9" i="7"/>
  <c r="H4" i="7"/>
  <c r="J32" i="5"/>
</calcChain>
</file>

<file path=xl/sharedStrings.xml><?xml version="1.0" encoding="utf-8"?>
<sst xmlns="http://schemas.openxmlformats.org/spreadsheetml/2006/main" count="305" uniqueCount="84">
  <si>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</si>
  <si>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</si>
  <si>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</si>
  <si>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</si>
  <si>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</si>
  <si>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</si>
  <si>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</si>
  <si>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</si>
  <si>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</si>
  <si>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</si>
  <si>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</si>
  <si>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</si>
  <si>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</si>
  <si>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</si>
  <si>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</si>
  <si>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</si>
  <si>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</si>
  <si>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</si>
  <si>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</si>
  <si>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</si>
  <si>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</si>
  <si>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</si>
  <si>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</si>
  <si>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</si>
  <si>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</si>
  <si>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</si>
  <si>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</si>
  <si>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</si>
  <si>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</si>
  <si>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</si>
  <si>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</si>
  <si>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</si>
  <si>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</si>
  <si>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</si>
  <si>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</si>
  <si>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</si>
  <si>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</si>
  <si>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</si>
  <si>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</si>
  <si>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</si>
  <si>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</si>
  <si>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</si>
  <si>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</si>
  <si>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</si>
  <si>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</si>
  <si>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</si>
  <si>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</si>
  <si>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</si>
  <si>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</si>
  <si>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</si>
  <si>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</si>
  <si>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</si>
  <si>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</si>
  <si>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</si>
  <si>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</si>
  <si>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</si>
  <si>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</si>
  <si>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</si>
  <si>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</si>
  <si>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</si>
  <si>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</si>
  <si>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</si>
  <si>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</si>
  <si>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</si>
  <si>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</si>
  <si>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</si>
  <si>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</si>
  <si>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</si>
  <si>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</si>
  <si>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</si>
  <si>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</si>
  <si>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</si>
  <si>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</si>
  <si>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 Sales</t>
  </si>
  <si>
    <t>GST Amount</t>
  </si>
  <si>
    <t>Total Sales</t>
  </si>
  <si>
    <t>`</t>
  </si>
  <si>
    <t xml:space="preserve">Total Sales </t>
  </si>
  <si>
    <t xml:space="preserve">Grand Total </t>
  </si>
  <si>
    <t>GST Amount/Unit Price</t>
  </si>
  <si>
    <t>GST %</t>
  </si>
  <si>
    <t>Final Amount</t>
  </si>
  <si>
    <t>Total Orders</t>
  </si>
  <si>
    <t>Sumif(range, criteria,[sum_range])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</si>
</sst>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1" fillId="3" borderId="0" xfId="0" applyFont="1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sqref="A1:H7"/>
    </sheetView>
  </sheetViews>
  <sheetFormatPr defaultRowHeight="15" x14ac:dyDescent="0.25"/>
  <cols>
    <col min="7" max="7" width="10.7109375" bestFit="1" customWidth="1"/>
    <col min="8" max="8" width="10.42578125" bestFit="1" customWidth="1"/>
    <col min="9" max="9" width="11.85546875" bestFit="1" customWidth="1"/>
  </cols>
  <sheetData>
    <row r="1" spans="1:11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75</v>
      </c>
      <c r="I1" s="4" t="s">
        <v>74</v>
      </c>
      <c r="J1" s="4" t="s">
        <v>77</v>
      </c>
    </row>
    <row r="2" spans="1:11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>
        <f>E2*F2</f>
        <v>90000</v>
      </c>
      <c r="I2">
        <f>VLOOKUP(D2,Product_Master!$A$1:$C$4,3,0)/100</f>
        <v>0.18</v>
      </c>
      <c r="J2">
        <f>H2*I2</f>
        <v>16200</v>
      </c>
    </row>
    <row r="3" spans="1:11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f t="shared" ref="H3:H7" si="0">E3*F3</f>
        <v>75000</v>
      </c>
      <c r="I3">
        <f>VLOOKUP(D3,Product_Master!$A$1:$C$4,3,0)/100</f>
        <v>0.12</v>
      </c>
      <c r="J3">
        <f t="shared" ref="J3:J7" si="1">H3*I3</f>
        <v>9000</v>
      </c>
      <c r="K3" t="s">
        <v>76</v>
      </c>
    </row>
    <row r="4" spans="1:11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f t="shared" si="0"/>
        <v>54000</v>
      </c>
      <c r="I4">
        <f>VLOOKUP(D4,Product_Master!$A$1:$C$4,3,0)/100</f>
        <v>0.12</v>
      </c>
      <c r="J4">
        <f t="shared" si="1"/>
        <v>6480</v>
      </c>
    </row>
    <row r="5" spans="1:11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f t="shared" si="0"/>
        <v>45000</v>
      </c>
      <c r="I5">
        <f>VLOOKUP(D5,Product_Master!$A$1:$C$4,3,0)/100</f>
        <v>0.18</v>
      </c>
      <c r="J5">
        <f t="shared" si="1"/>
        <v>8100</v>
      </c>
    </row>
    <row r="6" spans="1:11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f t="shared" si="0"/>
        <v>60000</v>
      </c>
      <c r="I6">
        <f>VLOOKUP(D6,Product_Master!$A$1:$C$4,3,0)/100</f>
        <v>0.12</v>
      </c>
      <c r="J6">
        <f t="shared" si="1"/>
        <v>7200</v>
      </c>
    </row>
    <row r="7" spans="1:11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f t="shared" si="0"/>
        <v>90000</v>
      </c>
      <c r="I7">
        <f>VLOOKUP(D7,Product_Master!$A$1:$C$4,3,0)/100</f>
        <v>0.18</v>
      </c>
      <c r="J7">
        <f t="shared" si="1"/>
        <v>16200</v>
      </c>
    </row>
    <row r="8" spans="1:11" x14ac:dyDescent="0.25">
      <c r="E8">
        <f>COUNTA(E2:E7)</f>
        <v>6</v>
      </c>
      <c r="I8" s="4" t="s">
        <v>78</v>
      </c>
      <c r="J8" s="4">
        <f>SUM(J2:J7)</f>
        <v>63180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2" sqref="C2"/>
    </sheetView>
  </sheetViews>
  <sheetFormatPr defaultRowHeight="15" x14ac:dyDescent="0.25"/>
  <cols>
    <col min="2" max="2" width="10.5703125" bestFit="1" customWidth="1"/>
    <col min="3" max="3" width="6.85546875" bestFit="1" customWidth="1"/>
  </cols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E21" sqref="E21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7D66-617C-4A79-992E-1D42F7818396}">
  <dimension ref="A1:K67"/>
  <sheetViews>
    <sheetView tabSelected="1" topLeftCell="A47" zoomScaleNormal="100" workbookViewId="0">
      <selection activeCell="F64" sqref="F64"/>
    </sheetView>
  </sheetViews>
  <sheetFormatPr defaultRowHeight="15" x14ac:dyDescent="0.25"/>
  <cols>
    <col min="3" max="4" width="11.85546875" bestFit="1" customWidth="1"/>
    <col min="6" max="6" width="12.85546875" customWidth="1"/>
    <col min="7" max="7" width="13.140625" customWidth="1"/>
    <col min="8" max="8" width="10.85546875" bestFit="1" customWidth="1"/>
    <col min="10" max="11" width="11.85546875" bestFit="1" customWidth="1"/>
  </cols>
  <sheetData>
    <row r="1" spans="1:11" x14ac:dyDescent="0.25">
      <c r="A1" s="1" t="s">
        <v>42</v>
      </c>
      <c r="B1" s="1"/>
      <c r="C1" s="1"/>
      <c r="D1" s="1"/>
      <c r="E1" s="1"/>
      <c r="F1" s="1"/>
      <c r="G1" s="1"/>
      <c r="J1">
        <v>2</v>
      </c>
    </row>
    <row r="3" spans="1:11" x14ac:dyDescent="0.2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73</v>
      </c>
    </row>
    <row r="4" spans="1:11" x14ac:dyDescent="0.25">
      <c r="A4">
        <v>301</v>
      </c>
      <c r="B4" t="s">
        <v>11</v>
      </c>
      <c r="C4" t="s">
        <v>12</v>
      </c>
      <c r="D4" t="s">
        <v>13</v>
      </c>
      <c r="E4">
        <v>2</v>
      </c>
      <c r="F4">
        <v>45000</v>
      </c>
      <c r="G4" t="s">
        <v>14</v>
      </c>
      <c r="H4" s="3">
        <f>E4*F4</f>
        <v>90000</v>
      </c>
    </row>
    <row r="5" spans="1:11" x14ac:dyDescent="0.25">
      <c r="A5">
        <v>302</v>
      </c>
      <c r="B5" t="s">
        <v>15</v>
      </c>
      <c r="C5" t="s">
        <v>16</v>
      </c>
      <c r="D5" t="s">
        <v>17</v>
      </c>
      <c r="E5">
        <v>5</v>
      </c>
      <c r="F5">
        <v>15000</v>
      </c>
      <c r="G5" t="s">
        <v>18</v>
      </c>
      <c r="H5" s="3">
        <f t="shared" ref="H5:H9" si="0">E5*F5</f>
        <v>75000</v>
      </c>
    </row>
    <row r="6" spans="1:11" x14ac:dyDescent="0.25">
      <c r="A6">
        <v>303</v>
      </c>
      <c r="B6" t="s">
        <v>19</v>
      </c>
      <c r="C6" t="s">
        <v>20</v>
      </c>
      <c r="D6" t="s">
        <v>21</v>
      </c>
      <c r="E6">
        <v>3</v>
      </c>
      <c r="F6">
        <v>18000</v>
      </c>
      <c r="G6" t="s">
        <v>22</v>
      </c>
      <c r="H6" s="3">
        <f t="shared" si="0"/>
        <v>54000</v>
      </c>
    </row>
    <row r="7" spans="1:11" x14ac:dyDescent="0.25">
      <c r="A7">
        <v>304</v>
      </c>
      <c r="B7" t="s">
        <v>23</v>
      </c>
      <c r="C7" t="s">
        <v>24</v>
      </c>
      <c r="D7" t="s">
        <v>13</v>
      </c>
      <c r="E7">
        <v>1</v>
      </c>
      <c r="F7">
        <v>45000</v>
      </c>
      <c r="G7" t="s">
        <v>25</v>
      </c>
      <c r="H7" s="3">
        <f t="shared" si="0"/>
        <v>45000</v>
      </c>
    </row>
    <row r="8" spans="1:11" x14ac:dyDescent="0.25">
      <c r="A8">
        <v>305</v>
      </c>
      <c r="B8" t="s">
        <v>11</v>
      </c>
      <c r="C8" t="s">
        <v>12</v>
      </c>
      <c r="D8" t="s">
        <v>17</v>
      </c>
      <c r="E8">
        <v>4</v>
      </c>
      <c r="F8">
        <v>15000</v>
      </c>
      <c r="G8" t="s">
        <v>26</v>
      </c>
      <c r="H8" s="3">
        <f t="shared" si="0"/>
        <v>60000</v>
      </c>
    </row>
    <row r="9" spans="1:11" x14ac:dyDescent="0.25">
      <c r="A9">
        <v>306</v>
      </c>
      <c r="B9" t="s">
        <v>15</v>
      </c>
      <c r="C9" t="s">
        <v>16</v>
      </c>
      <c r="D9" t="s">
        <v>13</v>
      </c>
      <c r="E9">
        <v>2</v>
      </c>
      <c r="F9">
        <v>45000</v>
      </c>
      <c r="G9" t="s">
        <v>27</v>
      </c>
      <c r="H9" s="3">
        <f t="shared" si="0"/>
        <v>90000</v>
      </c>
    </row>
    <row r="11" spans="1:11" x14ac:dyDescent="0.25">
      <c r="A11" s="1" t="s">
        <v>43</v>
      </c>
      <c r="B11" s="1"/>
      <c r="C11" s="1"/>
      <c r="D11" s="1"/>
      <c r="E11" s="1"/>
      <c r="F11" s="1"/>
      <c r="G11" s="1"/>
      <c r="J11">
        <v>2</v>
      </c>
    </row>
    <row r="13" spans="1:11" x14ac:dyDescent="0.25">
      <c r="A13" s="4" t="s">
        <v>4</v>
      </c>
      <c r="B13" s="4" t="s">
        <v>5</v>
      </c>
      <c r="C13" s="4" t="s">
        <v>6</v>
      </c>
      <c r="D13" s="4" t="s">
        <v>7</v>
      </c>
      <c r="E13" s="4" t="s">
        <v>8</v>
      </c>
      <c r="F13" s="4" t="s">
        <v>9</v>
      </c>
      <c r="G13" s="4" t="s">
        <v>10</v>
      </c>
      <c r="H13" s="4" t="s">
        <v>75</v>
      </c>
      <c r="I13" s="4" t="s">
        <v>80</v>
      </c>
      <c r="J13" s="4" t="s">
        <v>79</v>
      </c>
      <c r="K13" s="4" t="s">
        <v>74</v>
      </c>
    </row>
    <row r="14" spans="1:11" x14ac:dyDescent="0.25">
      <c r="A14">
        <v>301</v>
      </c>
      <c r="B14" t="s">
        <v>11</v>
      </c>
      <c r="C14" t="s">
        <v>12</v>
      </c>
      <c r="D14" t="s">
        <v>13</v>
      </c>
      <c r="E14">
        <v>2</v>
      </c>
      <c r="F14">
        <v>45000</v>
      </c>
      <c r="G14" t="s">
        <v>14</v>
      </c>
      <c r="H14">
        <f>E14*F14</f>
        <v>90000</v>
      </c>
      <c r="I14">
        <f>VLOOKUP(D14,Product_Master!$A$1:$C$4,3,0)/100</f>
        <v>0.18</v>
      </c>
      <c r="J14">
        <f>F14*I14</f>
        <v>8100</v>
      </c>
      <c r="K14">
        <f>H14*I14</f>
        <v>16200</v>
      </c>
    </row>
    <row r="15" spans="1:11" x14ac:dyDescent="0.25">
      <c r="A15">
        <v>302</v>
      </c>
      <c r="B15" t="s">
        <v>15</v>
      </c>
      <c r="C15" t="s">
        <v>16</v>
      </c>
      <c r="D15" t="s">
        <v>17</v>
      </c>
      <c r="E15">
        <v>5</v>
      </c>
      <c r="F15">
        <v>15000</v>
      </c>
      <c r="G15" t="s">
        <v>18</v>
      </c>
      <c r="H15">
        <f t="shared" ref="H15:H19" si="1">E15*F15</f>
        <v>75000</v>
      </c>
      <c r="I15">
        <f>VLOOKUP(D15,Product_Master!$A$1:$C$4,3,0)/100</f>
        <v>0.12</v>
      </c>
      <c r="J15">
        <f t="shared" ref="J15:J19" si="2">F15*I15</f>
        <v>1800</v>
      </c>
      <c r="K15">
        <f t="shared" ref="K15:K19" si="3">H15*I15</f>
        <v>9000</v>
      </c>
    </row>
    <row r="16" spans="1:11" x14ac:dyDescent="0.25">
      <c r="A16">
        <v>303</v>
      </c>
      <c r="B16" t="s">
        <v>19</v>
      </c>
      <c r="C16" t="s">
        <v>20</v>
      </c>
      <c r="D16" t="s">
        <v>21</v>
      </c>
      <c r="E16">
        <v>3</v>
      </c>
      <c r="F16">
        <v>18000</v>
      </c>
      <c r="G16" t="s">
        <v>22</v>
      </c>
      <c r="H16">
        <f t="shared" si="1"/>
        <v>54000</v>
      </c>
      <c r="I16">
        <f>VLOOKUP(D16,Product_Master!$A$1:$C$4,3,0)/100</f>
        <v>0.12</v>
      </c>
      <c r="J16">
        <f t="shared" si="2"/>
        <v>2160</v>
      </c>
      <c r="K16">
        <f t="shared" si="3"/>
        <v>6480</v>
      </c>
    </row>
    <row r="17" spans="1:11" x14ac:dyDescent="0.25">
      <c r="A17">
        <v>304</v>
      </c>
      <c r="B17" t="s">
        <v>23</v>
      </c>
      <c r="C17" t="s">
        <v>24</v>
      </c>
      <c r="D17" t="s">
        <v>13</v>
      </c>
      <c r="E17">
        <v>1</v>
      </c>
      <c r="F17">
        <v>45000</v>
      </c>
      <c r="G17" t="s">
        <v>25</v>
      </c>
      <c r="H17">
        <f t="shared" si="1"/>
        <v>45000</v>
      </c>
      <c r="I17">
        <f>VLOOKUP(D17,Product_Master!$A$1:$C$4,3,0)/100</f>
        <v>0.18</v>
      </c>
      <c r="J17">
        <f t="shared" si="2"/>
        <v>8100</v>
      </c>
      <c r="K17">
        <f t="shared" si="3"/>
        <v>8100</v>
      </c>
    </row>
    <row r="18" spans="1:11" x14ac:dyDescent="0.25">
      <c r="A18">
        <v>305</v>
      </c>
      <c r="B18" t="s">
        <v>11</v>
      </c>
      <c r="C18" t="s">
        <v>12</v>
      </c>
      <c r="D18" t="s">
        <v>17</v>
      </c>
      <c r="E18">
        <v>4</v>
      </c>
      <c r="F18">
        <v>15000</v>
      </c>
      <c r="G18" t="s">
        <v>26</v>
      </c>
      <c r="H18">
        <f t="shared" si="1"/>
        <v>60000</v>
      </c>
      <c r="I18">
        <f>VLOOKUP(D18,Product_Master!$A$1:$C$4,3,0)/100</f>
        <v>0.12</v>
      </c>
      <c r="J18">
        <f t="shared" si="2"/>
        <v>1800</v>
      </c>
      <c r="K18">
        <f t="shared" si="3"/>
        <v>7200</v>
      </c>
    </row>
    <row r="19" spans="1:11" x14ac:dyDescent="0.25">
      <c r="A19">
        <v>306</v>
      </c>
      <c r="B19" t="s">
        <v>15</v>
      </c>
      <c r="C19" t="s">
        <v>16</v>
      </c>
      <c r="D19" t="s">
        <v>13</v>
      </c>
      <c r="E19">
        <v>2</v>
      </c>
      <c r="F19">
        <v>45000</v>
      </c>
      <c r="G19" t="s">
        <v>27</v>
      </c>
      <c r="H19">
        <f t="shared" si="1"/>
        <v>90000</v>
      </c>
      <c r="I19">
        <f>VLOOKUP(D19,Product_Master!$A$1:$C$4,3,0)/100</f>
        <v>0.18</v>
      </c>
      <c r="J19">
        <f t="shared" si="2"/>
        <v>8100</v>
      </c>
      <c r="K19">
        <f t="shared" si="3"/>
        <v>16200</v>
      </c>
    </row>
    <row r="21" spans="1:11" x14ac:dyDescent="0.25">
      <c r="A21" s="1" t="s">
        <v>44</v>
      </c>
      <c r="B21" s="1"/>
      <c r="C21" s="1"/>
      <c r="D21" s="1"/>
      <c r="E21" s="1"/>
      <c r="F21" s="1"/>
      <c r="G21" s="1"/>
      <c r="J21">
        <v>2</v>
      </c>
    </row>
    <row r="23" spans="1:11" x14ac:dyDescent="0.25">
      <c r="A23" s="4" t="s">
        <v>4</v>
      </c>
      <c r="B23" s="4" t="s">
        <v>5</v>
      </c>
      <c r="C23" s="4" t="s">
        <v>6</v>
      </c>
      <c r="D23" s="4" t="s">
        <v>7</v>
      </c>
      <c r="E23" s="4" t="s">
        <v>8</v>
      </c>
      <c r="F23" s="4" t="s">
        <v>9</v>
      </c>
      <c r="G23" s="4" t="s">
        <v>10</v>
      </c>
      <c r="H23" s="4" t="s">
        <v>75</v>
      </c>
      <c r="I23" s="4" t="s">
        <v>74</v>
      </c>
      <c r="J23" s="4" t="s">
        <v>74</v>
      </c>
      <c r="K23" s="4" t="s">
        <v>75</v>
      </c>
    </row>
    <row r="24" spans="1:11" x14ac:dyDescent="0.25">
      <c r="A24">
        <v>301</v>
      </c>
      <c r="B24" t="s">
        <v>11</v>
      </c>
      <c r="C24" t="s">
        <v>12</v>
      </c>
      <c r="D24" t="s">
        <v>13</v>
      </c>
      <c r="E24">
        <v>2</v>
      </c>
      <c r="F24">
        <v>45000</v>
      </c>
      <c r="G24" t="s">
        <v>14</v>
      </c>
      <c r="H24">
        <f>E24*F24</f>
        <v>90000</v>
      </c>
      <c r="I24">
        <f>VLOOKUP(D24,Product_Master!$A$1:$C$4,3,0)/100</f>
        <v>0.18</v>
      </c>
      <c r="J24">
        <v>16200</v>
      </c>
      <c r="K24">
        <f>H24+J24</f>
        <v>106200</v>
      </c>
    </row>
    <row r="25" spans="1:11" x14ac:dyDescent="0.25">
      <c r="A25">
        <v>302</v>
      </c>
      <c r="B25" t="s">
        <v>15</v>
      </c>
      <c r="C25" t="s">
        <v>16</v>
      </c>
      <c r="D25" t="s">
        <v>17</v>
      </c>
      <c r="E25">
        <v>5</v>
      </c>
      <c r="F25">
        <v>15000</v>
      </c>
      <c r="G25" t="s">
        <v>18</v>
      </c>
      <c r="H25">
        <f t="shared" ref="H25:H29" si="4">E25*F25</f>
        <v>75000</v>
      </c>
      <c r="I25">
        <f>VLOOKUP(D25,Product_Master!$A$1:$C$4,3,0)/100</f>
        <v>0.12</v>
      </c>
      <c r="J25">
        <v>9000</v>
      </c>
      <c r="K25">
        <f t="shared" ref="K25:K29" si="5">H25+J25</f>
        <v>84000</v>
      </c>
    </row>
    <row r="26" spans="1:11" x14ac:dyDescent="0.25">
      <c r="A26">
        <v>303</v>
      </c>
      <c r="B26" t="s">
        <v>19</v>
      </c>
      <c r="C26" t="s">
        <v>20</v>
      </c>
      <c r="D26" t="s">
        <v>21</v>
      </c>
      <c r="E26">
        <v>3</v>
      </c>
      <c r="F26">
        <v>18000</v>
      </c>
      <c r="G26" t="s">
        <v>22</v>
      </c>
      <c r="H26">
        <f t="shared" si="4"/>
        <v>54000</v>
      </c>
      <c r="I26">
        <f>VLOOKUP(D26,Product_Master!$A$1:$C$4,3,0)/100</f>
        <v>0.12</v>
      </c>
      <c r="J26">
        <v>6480</v>
      </c>
      <c r="K26">
        <f t="shared" si="5"/>
        <v>60480</v>
      </c>
    </row>
    <row r="27" spans="1:11" x14ac:dyDescent="0.25">
      <c r="A27">
        <v>304</v>
      </c>
      <c r="B27" t="s">
        <v>23</v>
      </c>
      <c r="C27" t="s">
        <v>24</v>
      </c>
      <c r="D27" t="s">
        <v>13</v>
      </c>
      <c r="E27">
        <v>1</v>
      </c>
      <c r="F27">
        <v>45000</v>
      </c>
      <c r="G27" t="s">
        <v>25</v>
      </c>
      <c r="H27">
        <f t="shared" si="4"/>
        <v>45000</v>
      </c>
      <c r="I27">
        <f>VLOOKUP(D27,Product_Master!$A$1:$C$4,3,0)/100</f>
        <v>0.18</v>
      </c>
      <c r="J27">
        <v>8100</v>
      </c>
      <c r="K27">
        <f t="shared" si="5"/>
        <v>53100</v>
      </c>
    </row>
    <row r="28" spans="1:11" x14ac:dyDescent="0.25">
      <c r="A28">
        <v>305</v>
      </c>
      <c r="B28" t="s">
        <v>11</v>
      </c>
      <c r="C28" t="s">
        <v>12</v>
      </c>
      <c r="D28" t="s">
        <v>17</v>
      </c>
      <c r="E28">
        <v>4</v>
      </c>
      <c r="F28">
        <v>15000</v>
      </c>
      <c r="G28" t="s">
        <v>26</v>
      </c>
      <c r="H28">
        <f t="shared" si="4"/>
        <v>60000</v>
      </c>
      <c r="I28">
        <f>VLOOKUP(D28,Product_Master!$A$1:$C$4,3,0)/100</f>
        <v>0.12</v>
      </c>
      <c r="J28">
        <v>7200</v>
      </c>
      <c r="K28">
        <f t="shared" si="5"/>
        <v>67200</v>
      </c>
    </row>
    <row r="29" spans="1:11" x14ac:dyDescent="0.25">
      <c r="A29">
        <v>306</v>
      </c>
      <c r="B29" t="s">
        <v>15</v>
      </c>
      <c r="C29" t="s">
        <v>16</v>
      </c>
      <c r="D29" t="s">
        <v>13</v>
      </c>
      <c r="E29">
        <v>2</v>
      </c>
      <c r="F29">
        <v>45000</v>
      </c>
      <c r="G29" t="s">
        <v>27</v>
      </c>
      <c r="H29">
        <f t="shared" si="4"/>
        <v>90000</v>
      </c>
      <c r="I29">
        <f>VLOOKUP(D29,Product_Master!$A$1:$C$4,3,0)/100</f>
        <v>0.18</v>
      </c>
      <c r="J29">
        <v>16200</v>
      </c>
      <c r="K29">
        <f t="shared" si="5"/>
        <v>106200</v>
      </c>
    </row>
    <row r="31" spans="1:11" x14ac:dyDescent="0.25">
      <c r="A31" s="1" t="s">
        <v>45</v>
      </c>
      <c r="B31" s="1"/>
      <c r="C31" s="1"/>
      <c r="D31" s="1"/>
      <c r="E31" s="1"/>
      <c r="F31" s="1"/>
      <c r="G31" s="1"/>
      <c r="J31">
        <v>2</v>
      </c>
    </row>
    <row r="33" spans="1:11" x14ac:dyDescent="0.25">
      <c r="A33" s="4" t="s">
        <v>4</v>
      </c>
      <c r="B33" s="4" t="s">
        <v>5</v>
      </c>
      <c r="C33" s="4" t="s">
        <v>6</v>
      </c>
      <c r="D33" s="4" t="s">
        <v>7</v>
      </c>
      <c r="E33" s="4" t="s">
        <v>8</v>
      </c>
      <c r="F33" s="4" t="s">
        <v>9</v>
      </c>
      <c r="G33" s="4" t="s">
        <v>10</v>
      </c>
      <c r="H33" s="4" t="s">
        <v>75</v>
      </c>
      <c r="I33" s="4" t="s">
        <v>74</v>
      </c>
      <c r="J33" s="4" t="s">
        <v>74</v>
      </c>
      <c r="K33" s="4" t="s">
        <v>75</v>
      </c>
    </row>
    <row r="34" spans="1:11" x14ac:dyDescent="0.25">
      <c r="A34">
        <v>301</v>
      </c>
      <c r="B34" t="s">
        <v>11</v>
      </c>
      <c r="C34" t="s">
        <v>12</v>
      </c>
      <c r="D34" t="s">
        <v>13</v>
      </c>
      <c r="E34">
        <v>2</v>
      </c>
      <c r="F34">
        <v>45000</v>
      </c>
      <c r="G34" t="s">
        <v>14</v>
      </c>
      <c r="H34">
        <f>E34*F34</f>
        <v>90000</v>
      </c>
      <c r="I34">
        <f>VLOOKUP(D34,Product_Master!$A$1:$C$4,3,0)/100</f>
        <v>0.18</v>
      </c>
      <c r="J34">
        <v>16200</v>
      </c>
      <c r="K34">
        <f>H34+J34</f>
        <v>106200</v>
      </c>
    </row>
    <row r="35" spans="1:11" x14ac:dyDescent="0.25">
      <c r="A35">
        <v>302</v>
      </c>
      <c r="B35" t="s">
        <v>15</v>
      </c>
      <c r="C35" t="s">
        <v>16</v>
      </c>
      <c r="D35" t="s">
        <v>17</v>
      </c>
      <c r="E35">
        <v>5</v>
      </c>
      <c r="F35">
        <v>15000</v>
      </c>
      <c r="G35" t="s">
        <v>18</v>
      </c>
      <c r="H35">
        <f t="shared" ref="H35:H39" si="6">E35*F35</f>
        <v>75000</v>
      </c>
      <c r="I35">
        <f>VLOOKUP(D35,Product_Master!$A$1:$C$4,3,0)/100</f>
        <v>0.12</v>
      </c>
      <c r="J35">
        <v>9000</v>
      </c>
      <c r="K35">
        <f t="shared" ref="K35:K39" si="7">H35+J35</f>
        <v>84000</v>
      </c>
    </row>
    <row r="36" spans="1:11" x14ac:dyDescent="0.25">
      <c r="A36">
        <v>303</v>
      </c>
      <c r="B36" t="s">
        <v>19</v>
      </c>
      <c r="C36" t="s">
        <v>20</v>
      </c>
      <c r="D36" t="s">
        <v>21</v>
      </c>
      <c r="E36">
        <v>3</v>
      </c>
      <c r="F36">
        <v>18000</v>
      </c>
      <c r="G36" t="s">
        <v>22</v>
      </c>
      <c r="H36">
        <f t="shared" si="6"/>
        <v>54000</v>
      </c>
      <c r="I36">
        <f>VLOOKUP(D36,Product_Master!$A$1:$C$4,3,0)/100</f>
        <v>0.12</v>
      </c>
      <c r="J36">
        <v>6480</v>
      </c>
      <c r="K36">
        <f t="shared" si="7"/>
        <v>60480</v>
      </c>
    </row>
    <row r="37" spans="1:11" x14ac:dyDescent="0.25">
      <c r="A37">
        <v>304</v>
      </c>
      <c r="B37" t="s">
        <v>23</v>
      </c>
      <c r="C37" t="s">
        <v>24</v>
      </c>
      <c r="D37" t="s">
        <v>13</v>
      </c>
      <c r="E37">
        <v>1</v>
      </c>
      <c r="F37">
        <v>45000</v>
      </c>
      <c r="G37" t="s">
        <v>25</v>
      </c>
      <c r="H37">
        <f t="shared" si="6"/>
        <v>45000</v>
      </c>
      <c r="I37">
        <f>VLOOKUP(D37,Product_Master!$A$1:$C$4,3,0)/100</f>
        <v>0.18</v>
      </c>
      <c r="J37">
        <v>8100</v>
      </c>
      <c r="K37">
        <f t="shared" si="7"/>
        <v>53100</v>
      </c>
    </row>
    <row r="38" spans="1:11" x14ac:dyDescent="0.25">
      <c r="A38">
        <v>305</v>
      </c>
      <c r="B38" t="s">
        <v>11</v>
      </c>
      <c r="C38" t="s">
        <v>12</v>
      </c>
      <c r="D38" t="s">
        <v>17</v>
      </c>
      <c r="E38">
        <v>4</v>
      </c>
      <c r="F38">
        <v>15000</v>
      </c>
      <c r="G38" t="s">
        <v>26</v>
      </c>
      <c r="H38">
        <f t="shared" si="6"/>
        <v>60000</v>
      </c>
      <c r="I38">
        <f>VLOOKUP(D38,Product_Master!$A$1:$C$4,3,0)/100</f>
        <v>0.12</v>
      </c>
      <c r="J38">
        <v>7200</v>
      </c>
      <c r="K38">
        <f t="shared" si="7"/>
        <v>67200</v>
      </c>
    </row>
    <row r="39" spans="1:11" x14ac:dyDescent="0.25">
      <c r="A39">
        <v>306</v>
      </c>
      <c r="B39" t="s">
        <v>15</v>
      </c>
      <c r="C39" t="s">
        <v>16</v>
      </c>
      <c r="D39" t="s">
        <v>13</v>
      </c>
      <c r="E39">
        <v>2</v>
      </c>
      <c r="F39">
        <v>45000</v>
      </c>
      <c r="G39" t="s">
        <v>27</v>
      </c>
      <c r="H39">
        <f t="shared" si="6"/>
        <v>90000</v>
      </c>
      <c r="I39">
        <f>VLOOKUP(D39,Product_Master!$A$1:$C$4,3,0)/100</f>
        <v>0.18</v>
      </c>
      <c r="J39">
        <v>16200</v>
      </c>
      <c r="K39">
        <f t="shared" si="7"/>
        <v>106200</v>
      </c>
    </row>
    <row r="40" spans="1:11" x14ac:dyDescent="0.25">
      <c r="J40" s="5" t="s">
        <v>81</v>
      </c>
      <c r="K40" s="5">
        <f>SUM(K34:K39)</f>
        <v>477180</v>
      </c>
    </row>
    <row r="42" spans="1:11" x14ac:dyDescent="0.25">
      <c r="A42" s="1" t="s">
        <v>46</v>
      </c>
      <c r="B42" s="1"/>
      <c r="C42" s="1"/>
      <c r="D42" s="1"/>
      <c r="E42" s="1"/>
      <c r="F42" s="1"/>
      <c r="G42" s="1"/>
      <c r="J42">
        <v>2</v>
      </c>
    </row>
    <row r="44" spans="1:11" x14ac:dyDescent="0.25">
      <c r="A44" s="4" t="s">
        <v>4</v>
      </c>
      <c r="B44" s="4" t="s">
        <v>5</v>
      </c>
      <c r="C44" s="4" t="s">
        <v>6</v>
      </c>
      <c r="D44" s="4" t="s">
        <v>7</v>
      </c>
      <c r="E44" s="4" t="s">
        <v>8</v>
      </c>
      <c r="F44" s="4" t="s">
        <v>9</v>
      </c>
      <c r="G44" s="4" t="s">
        <v>10</v>
      </c>
      <c r="H44" s="4" t="s">
        <v>75</v>
      </c>
    </row>
    <row r="45" spans="1:11" x14ac:dyDescent="0.25">
      <c r="A45">
        <v>301</v>
      </c>
      <c r="B45" t="s">
        <v>11</v>
      </c>
      <c r="C45" t="s">
        <v>12</v>
      </c>
      <c r="D45" t="s">
        <v>13</v>
      </c>
      <c r="E45">
        <v>2</v>
      </c>
      <c r="F45">
        <v>45000</v>
      </c>
      <c r="G45" t="s">
        <v>14</v>
      </c>
      <c r="H45">
        <f>E45*F45</f>
        <v>90000</v>
      </c>
    </row>
    <row r="46" spans="1:11" x14ac:dyDescent="0.25">
      <c r="A46">
        <v>302</v>
      </c>
      <c r="B46" t="s">
        <v>15</v>
      </c>
      <c r="C46" t="s">
        <v>16</v>
      </c>
      <c r="D46" t="s">
        <v>17</v>
      </c>
      <c r="E46">
        <v>5</v>
      </c>
      <c r="F46">
        <v>15000</v>
      </c>
      <c r="G46" t="s">
        <v>18</v>
      </c>
      <c r="H46">
        <f t="shared" ref="H46:H50" si="8">E46*F46</f>
        <v>75000</v>
      </c>
    </row>
    <row r="47" spans="1:11" x14ac:dyDescent="0.25">
      <c r="A47">
        <v>303</v>
      </c>
      <c r="B47" t="s">
        <v>19</v>
      </c>
      <c r="C47" t="s">
        <v>20</v>
      </c>
      <c r="D47" t="s">
        <v>21</v>
      </c>
      <c r="E47">
        <v>3</v>
      </c>
      <c r="F47">
        <v>18000</v>
      </c>
      <c r="G47" t="s">
        <v>22</v>
      </c>
      <c r="H47">
        <f t="shared" si="8"/>
        <v>54000</v>
      </c>
    </row>
    <row r="48" spans="1:11" x14ac:dyDescent="0.25">
      <c r="A48">
        <v>304</v>
      </c>
      <c r="B48" t="s">
        <v>23</v>
      </c>
      <c r="C48" t="s">
        <v>24</v>
      </c>
      <c r="D48" t="s">
        <v>13</v>
      </c>
      <c r="E48">
        <v>1</v>
      </c>
      <c r="F48">
        <v>45000</v>
      </c>
      <c r="G48" t="s">
        <v>25</v>
      </c>
      <c r="H48">
        <f t="shared" si="8"/>
        <v>45000</v>
      </c>
    </row>
    <row r="49" spans="1:8" x14ac:dyDescent="0.25">
      <c r="A49">
        <v>305</v>
      </c>
      <c r="B49" t="s">
        <v>11</v>
      </c>
      <c r="C49" t="s">
        <v>12</v>
      </c>
      <c r="D49" t="s">
        <v>17</v>
      </c>
      <c r="E49">
        <v>4</v>
      </c>
      <c r="F49">
        <v>15000</v>
      </c>
      <c r="G49" t="s">
        <v>26</v>
      </c>
      <c r="H49">
        <f t="shared" si="8"/>
        <v>60000</v>
      </c>
    </row>
    <row r="50" spans="1:8" x14ac:dyDescent="0.25">
      <c r="A50">
        <v>306</v>
      </c>
      <c r="B50" t="s">
        <v>15</v>
      </c>
      <c r="C50" t="s">
        <v>16</v>
      </c>
      <c r="D50" t="s">
        <v>13</v>
      </c>
      <c r="E50">
        <v>2</v>
      </c>
      <c r="F50">
        <v>45000</v>
      </c>
      <c r="G50" t="s">
        <v>27</v>
      </c>
      <c r="H50">
        <f t="shared" si="8"/>
        <v>90000</v>
      </c>
    </row>
    <row r="52" spans="1:8" x14ac:dyDescent="0.25">
      <c r="D52" s="6" t="s">
        <v>82</v>
      </c>
      <c r="E52" s="6">
        <f>COUNTA(E45:E50)</f>
        <v>6</v>
      </c>
    </row>
    <row r="54" spans="1:8" customFormat="1" x14ac:dyDescent="0.25">
      <c r="A54" s="1" t="s">
        <v>47</v>
      </c>
      <c r="B54" s="1"/>
      <c r="C54" s="1"/>
      <c r="D54" s="1"/>
      <c r="E54" s="1"/>
      <c r="F54" s="1"/>
      <c r="G54" s="1"/>
    </row>
    <row r="56" spans="1:8" x14ac:dyDescent="0.25">
      <c r="A56" s="4" t="s">
        <v>4</v>
      </c>
      <c r="B56" s="4" t="s">
        <v>5</v>
      </c>
      <c r="C56" s="4" t="s">
        <v>6</v>
      </c>
      <c r="D56" s="4" t="s">
        <v>7</v>
      </c>
      <c r="E56" s="4" t="s">
        <v>8</v>
      </c>
      <c r="F56" s="4" t="s">
        <v>9</v>
      </c>
      <c r="G56" s="4" t="s">
        <v>10</v>
      </c>
      <c r="H56" s="4" t="s">
        <v>75</v>
      </c>
    </row>
    <row r="57" spans="1:8" x14ac:dyDescent="0.25">
      <c r="A57">
        <v>301</v>
      </c>
      <c r="B57" t="s">
        <v>11</v>
      </c>
      <c r="C57" t="s">
        <v>12</v>
      </c>
      <c r="D57" t="s">
        <v>13</v>
      </c>
      <c r="E57">
        <v>2</v>
      </c>
      <c r="F57">
        <v>45000</v>
      </c>
      <c r="G57" t="s">
        <v>14</v>
      </c>
      <c r="H57">
        <f>E57*F57</f>
        <v>90000</v>
      </c>
    </row>
    <row r="58" spans="1:8" x14ac:dyDescent="0.25">
      <c r="A58">
        <v>302</v>
      </c>
      <c r="B58" t="s">
        <v>15</v>
      </c>
      <c r="C58" t="s">
        <v>16</v>
      </c>
      <c r="D58" t="s">
        <v>17</v>
      </c>
      <c r="E58">
        <v>5</v>
      </c>
      <c r="F58">
        <v>15000</v>
      </c>
      <c r="G58" t="s">
        <v>18</v>
      </c>
      <c r="H58">
        <f t="shared" ref="H58:H62" si="9">E58*F58</f>
        <v>75000</v>
      </c>
    </row>
    <row r="59" spans="1:8" x14ac:dyDescent="0.25">
      <c r="A59">
        <v>303</v>
      </c>
      <c r="B59" t="s">
        <v>19</v>
      </c>
      <c r="C59" t="s">
        <v>20</v>
      </c>
      <c r="D59" t="s">
        <v>21</v>
      </c>
      <c r="E59">
        <v>3</v>
      </c>
      <c r="F59">
        <v>18000</v>
      </c>
      <c r="G59" t="s">
        <v>22</v>
      </c>
      <c r="H59">
        <f t="shared" si="9"/>
        <v>54000</v>
      </c>
    </row>
    <row r="60" spans="1:8" x14ac:dyDescent="0.25">
      <c r="A60">
        <v>304</v>
      </c>
      <c r="B60" t="s">
        <v>23</v>
      </c>
      <c r="C60" t="s">
        <v>24</v>
      </c>
      <c r="D60" t="s">
        <v>13</v>
      </c>
      <c r="E60">
        <v>1</v>
      </c>
      <c r="F60">
        <v>45000</v>
      </c>
      <c r="G60" t="s">
        <v>25</v>
      </c>
      <c r="H60">
        <f t="shared" si="9"/>
        <v>45000</v>
      </c>
    </row>
    <row r="61" spans="1:8" x14ac:dyDescent="0.25">
      <c r="A61">
        <v>305</v>
      </c>
      <c r="B61" t="s">
        <v>11</v>
      </c>
      <c r="C61" t="s">
        <v>12</v>
      </c>
      <c r="D61" t="s">
        <v>17</v>
      </c>
      <c r="E61">
        <v>4</v>
      </c>
      <c r="F61">
        <v>15000</v>
      </c>
      <c r="G61" t="s">
        <v>26</v>
      </c>
      <c r="H61">
        <f t="shared" si="9"/>
        <v>60000</v>
      </c>
    </row>
    <row r="62" spans="1:8" x14ac:dyDescent="0.25">
      <c r="A62">
        <v>306</v>
      </c>
      <c r="B62" t="s">
        <v>15</v>
      </c>
      <c r="C62" t="s">
        <v>16</v>
      </c>
      <c r="D62" t="s">
        <v>13</v>
      </c>
      <c r="E62">
        <v>2</v>
      </c>
      <c r="F62">
        <v>45000</v>
      </c>
      <c r="G62" t="s">
        <v>27</v>
      </c>
      <c r="H62">
        <f t="shared" si="9"/>
        <v>90000</v>
      </c>
    </row>
    <row r="64" spans="1:8" x14ac:dyDescent="0.25">
      <c r="C64" s="7" t="s">
        <v>11</v>
      </c>
      <c r="D64" s="7">
        <f>SUMIF(B56:B62, "North", E56:E62)</f>
        <v>6</v>
      </c>
      <c r="F64" t="s">
        <v>83</v>
      </c>
    </row>
    <row r="65" spans="3:4" x14ac:dyDescent="0.25">
      <c r="C65" s="7" t="s">
        <v>15</v>
      </c>
      <c r="D65" s="7">
        <f>SUMIF(B57:B63, "South", E57:E63)</f>
        <v>7</v>
      </c>
    </row>
    <row r="66" spans="3:4" x14ac:dyDescent="0.25">
      <c r="C66" s="7" t="s">
        <v>19</v>
      </c>
      <c r="D66" s="7">
        <f>SUMIF(B58:B64, "East", E58:E64)</f>
        <v>3</v>
      </c>
    </row>
    <row r="67" spans="3:4" x14ac:dyDescent="0.25">
      <c r="C67" s="7" t="s">
        <v>23</v>
      </c>
      <c r="D67" s="7">
        <f>SUMIF(B59:B65, "West", E59:E65)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ASDC6</cp:lastModifiedBy>
  <dcterms:created xsi:type="dcterms:W3CDTF">2025-12-20T09:26:06Z</dcterms:created>
  <dcterms:modified xsi:type="dcterms:W3CDTF">2026-07-14T07:44:09Z</dcterms:modified>
</cp:coreProperties>
</file>